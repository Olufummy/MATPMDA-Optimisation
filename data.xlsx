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ir-my.sharepoint.com/personal/ah54_stir_ac_uk/Documents/Desktop/MD4/"/>
    </mc:Choice>
  </mc:AlternateContent>
  <xr:revisionPtr revIDLastSave="189" documentId="8_{3A07CE5A-39E7-466F-84EF-56F53E94445F}" xr6:coauthVersionLast="47" xr6:coauthVersionMax="47" xr10:uidLastSave="{67701F4A-E793-754E-8E28-99FA258D3341}"/>
  <bookViews>
    <workbookView xWindow="1120" yWindow="500" windowWidth="24300" windowHeight="13480" xr2:uid="{00000000-000D-0000-FFFF-FFFF00000000}"/>
  </bookViews>
  <sheets>
    <sheet name="2026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1" i="6" l="1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Z54" i="6"/>
  <c r="V53" i="6"/>
  <c r="W53" i="6"/>
  <c r="X53" i="6"/>
  <c r="Y53" i="6"/>
  <c r="N53" i="6"/>
  <c r="O53" i="6"/>
  <c r="P53" i="6"/>
  <c r="Q53" i="6"/>
  <c r="R53" i="6"/>
  <c r="S53" i="6"/>
  <c r="T53" i="6"/>
  <c r="U53" i="6"/>
  <c r="C53" i="6"/>
  <c r="D53" i="6"/>
  <c r="E53" i="6"/>
  <c r="F53" i="6"/>
  <c r="G53" i="6"/>
  <c r="H53" i="6"/>
  <c r="I53" i="6"/>
  <c r="J53" i="6"/>
  <c r="K53" i="6"/>
  <c r="L53" i="6"/>
  <c r="K40" i="6"/>
  <c r="L40" i="6"/>
  <c r="D39" i="6"/>
  <c r="E39" i="6"/>
  <c r="F39" i="6"/>
  <c r="G39" i="6"/>
  <c r="H39" i="6"/>
  <c r="I39" i="6"/>
  <c r="J39" i="6"/>
  <c r="D40" i="6"/>
  <c r="E40" i="6"/>
  <c r="F40" i="6"/>
  <c r="G40" i="6"/>
  <c r="H40" i="6"/>
  <c r="I40" i="6"/>
  <c r="J40" i="6"/>
  <c r="D41" i="6"/>
  <c r="E41" i="6"/>
  <c r="F41" i="6"/>
  <c r="G41" i="6"/>
  <c r="H41" i="6"/>
  <c r="I41" i="6"/>
  <c r="J41" i="6"/>
  <c r="D42" i="6"/>
  <c r="E42" i="6"/>
  <c r="F42" i="6"/>
  <c r="G42" i="6"/>
  <c r="H42" i="6"/>
  <c r="I42" i="6"/>
  <c r="J42" i="6"/>
  <c r="C39" i="6"/>
  <c r="C40" i="6"/>
  <c r="C41" i="6"/>
  <c r="H10" i="6"/>
  <c r="H11" i="6"/>
  <c r="H12" i="6"/>
  <c r="H13" i="6"/>
  <c r="H14" i="6"/>
  <c r="H15" i="6"/>
  <c r="H16" i="6"/>
  <c r="H17" i="6"/>
  <c r="H18" i="6"/>
  <c r="H25" i="6"/>
  <c r="H26" i="6"/>
  <c r="E34" i="6"/>
  <c r="E35" i="6"/>
  <c r="E36" i="6"/>
  <c r="E37" i="6"/>
  <c r="E38" i="6"/>
  <c r="E43" i="6"/>
  <c r="E44" i="6"/>
  <c r="E45" i="6"/>
  <c r="E46" i="6"/>
  <c r="E47" i="6"/>
  <c r="E48" i="6"/>
  <c r="E49" i="6"/>
  <c r="E50" i="6"/>
  <c r="E51" i="6"/>
  <c r="E52" i="6"/>
  <c r="E54" i="6"/>
  <c r="F35" i="6"/>
  <c r="F36" i="6"/>
  <c r="F37" i="6"/>
  <c r="F38" i="6"/>
  <c r="F43" i="6"/>
  <c r="F44" i="6"/>
  <c r="F45" i="6"/>
  <c r="F46" i="6"/>
  <c r="F47" i="6"/>
  <c r="F48" i="6"/>
  <c r="F49" i="6"/>
  <c r="F50" i="6"/>
  <c r="F51" i="6"/>
  <c r="F52" i="6"/>
  <c r="F54" i="6"/>
  <c r="G36" i="6"/>
  <c r="G37" i="6"/>
  <c r="G38" i="6"/>
  <c r="G43" i="6"/>
  <c r="G44" i="6"/>
  <c r="G45" i="6"/>
  <c r="G46" i="6"/>
  <c r="G47" i="6"/>
  <c r="G48" i="6"/>
  <c r="G49" i="6"/>
  <c r="G50" i="6"/>
  <c r="G51" i="6"/>
  <c r="G52" i="6"/>
  <c r="G54" i="6"/>
  <c r="H37" i="6"/>
  <c r="H38" i="6"/>
  <c r="H43" i="6"/>
  <c r="H44" i="6"/>
  <c r="H45" i="6"/>
  <c r="H46" i="6"/>
  <c r="H47" i="6"/>
  <c r="H48" i="6"/>
  <c r="H49" i="6"/>
  <c r="H50" i="6"/>
  <c r="H51" i="6"/>
  <c r="H52" i="6"/>
  <c r="H54" i="6"/>
  <c r="I38" i="6"/>
  <c r="I43" i="6"/>
  <c r="I44" i="6"/>
  <c r="I45" i="6"/>
  <c r="I46" i="6"/>
  <c r="I47" i="6"/>
  <c r="I48" i="6"/>
  <c r="I49" i="6"/>
  <c r="I50" i="6"/>
  <c r="I51" i="6"/>
  <c r="I52" i="6"/>
  <c r="I54" i="6"/>
  <c r="J43" i="6"/>
  <c r="J44" i="6"/>
  <c r="J45" i="6"/>
  <c r="J46" i="6"/>
  <c r="J47" i="6"/>
  <c r="J48" i="6"/>
  <c r="J49" i="6"/>
  <c r="J50" i="6"/>
  <c r="J51" i="6"/>
  <c r="J52" i="6"/>
  <c r="J54" i="6"/>
  <c r="K41" i="6"/>
  <c r="K42" i="6"/>
  <c r="K43" i="6"/>
  <c r="K44" i="6"/>
  <c r="K45" i="6"/>
  <c r="K46" i="6"/>
  <c r="K47" i="6"/>
  <c r="K48" i="6"/>
  <c r="K49" i="6"/>
  <c r="K50" i="6"/>
  <c r="K51" i="6"/>
  <c r="K52" i="6"/>
  <c r="K54" i="6"/>
  <c r="L43" i="6"/>
  <c r="L44" i="6"/>
  <c r="L45" i="6"/>
  <c r="L46" i="6"/>
  <c r="L47" i="6"/>
  <c r="L48" i="6"/>
  <c r="L49" i="6"/>
  <c r="L50" i="6"/>
  <c r="L51" i="6"/>
  <c r="L52" i="6"/>
  <c r="L54" i="6"/>
  <c r="N43" i="6"/>
  <c r="N44" i="6"/>
  <c r="N45" i="6"/>
  <c r="N46" i="6"/>
  <c r="N47" i="6"/>
  <c r="N48" i="6"/>
  <c r="N49" i="6"/>
  <c r="N50" i="6"/>
  <c r="N51" i="6"/>
  <c r="N52" i="6"/>
  <c r="N54" i="6"/>
  <c r="O44" i="6"/>
  <c r="O45" i="6"/>
  <c r="O46" i="6"/>
  <c r="O47" i="6"/>
  <c r="O48" i="6"/>
  <c r="O49" i="6"/>
  <c r="O50" i="6"/>
  <c r="O51" i="6"/>
  <c r="O52" i="6"/>
  <c r="O54" i="6"/>
  <c r="P45" i="6"/>
  <c r="P46" i="6"/>
  <c r="P47" i="6"/>
  <c r="P48" i="6"/>
  <c r="P49" i="6"/>
  <c r="P50" i="6"/>
  <c r="P51" i="6"/>
  <c r="P52" i="6"/>
  <c r="P54" i="6"/>
  <c r="Q46" i="6"/>
  <c r="Q47" i="6"/>
  <c r="Q48" i="6"/>
  <c r="Q49" i="6"/>
  <c r="Q50" i="6"/>
  <c r="Q51" i="6"/>
  <c r="Q52" i="6"/>
  <c r="Q54" i="6"/>
  <c r="R47" i="6"/>
  <c r="R48" i="6"/>
  <c r="R49" i="6"/>
  <c r="R50" i="6"/>
  <c r="R51" i="6"/>
  <c r="R52" i="6"/>
  <c r="R54" i="6"/>
  <c r="S48" i="6"/>
  <c r="S49" i="6"/>
  <c r="S50" i="6"/>
  <c r="S51" i="6"/>
  <c r="S52" i="6"/>
  <c r="S54" i="6"/>
  <c r="T49" i="6"/>
  <c r="T50" i="6"/>
  <c r="T51" i="6"/>
  <c r="T52" i="6"/>
  <c r="T54" i="6"/>
  <c r="U50" i="6"/>
  <c r="U51" i="6"/>
  <c r="U52" i="6"/>
  <c r="U54" i="6"/>
  <c r="V51" i="6"/>
  <c r="V52" i="6"/>
  <c r="V54" i="6"/>
  <c r="W52" i="6"/>
  <c r="W54" i="6"/>
  <c r="X54" i="6"/>
  <c r="Y54" i="6"/>
  <c r="X52" i="6"/>
  <c r="W51" i="6"/>
  <c r="V50" i="6"/>
  <c r="U49" i="6"/>
  <c r="T48" i="6"/>
  <c r="S47" i="6"/>
  <c r="R46" i="6"/>
  <c r="Q45" i="6"/>
  <c r="P44" i="6"/>
  <c r="O43" i="6"/>
  <c r="N42" i="6"/>
  <c r="K39" i="6"/>
  <c r="J38" i="6"/>
  <c r="I37" i="6"/>
  <c r="H36" i="6"/>
  <c r="G35" i="6"/>
  <c r="F34" i="6"/>
  <c r="E33" i="6"/>
  <c r="D33" i="6"/>
  <c r="D34" i="6"/>
  <c r="D35" i="6"/>
  <c r="D36" i="6"/>
  <c r="D37" i="6"/>
  <c r="D38" i="6"/>
  <c r="D43" i="6"/>
  <c r="D44" i="6"/>
  <c r="D45" i="6"/>
  <c r="D46" i="6"/>
  <c r="D47" i="6"/>
  <c r="D48" i="6"/>
  <c r="D49" i="6"/>
  <c r="D50" i="6"/>
  <c r="D51" i="6"/>
  <c r="D52" i="6"/>
  <c r="D54" i="6"/>
  <c r="D32" i="6"/>
  <c r="C54" i="6"/>
  <c r="C52" i="6"/>
  <c r="C51" i="6"/>
  <c r="C50" i="6"/>
  <c r="C49" i="6"/>
  <c r="C48" i="6"/>
  <c r="C47" i="6"/>
  <c r="C46" i="6"/>
  <c r="C45" i="6"/>
  <c r="C44" i="6"/>
  <c r="C43" i="6"/>
  <c r="C42" i="6"/>
  <c r="C38" i="6"/>
  <c r="C37" i="6"/>
  <c r="C36" i="6"/>
  <c r="C35" i="6"/>
  <c r="C34" i="6"/>
  <c r="C33" i="6"/>
  <c r="C32" i="6"/>
  <c r="C31" i="6"/>
  <c r="C30" i="6"/>
  <c r="H24" i="6"/>
  <c r="H23" i="6"/>
  <c r="H22" i="6"/>
  <c r="H21" i="6"/>
  <c r="H20" i="6"/>
  <c r="H19" i="6"/>
  <c r="H9" i="6"/>
  <c r="H8" i="6"/>
  <c r="H7" i="6"/>
  <c r="H6" i="6"/>
  <c r="H5" i="6"/>
  <c r="H4" i="6"/>
  <c r="H3" i="6"/>
  <c r="H2" i="6"/>
  <c r="L41" i="6" l="1"/>
  <c r="L42" i="6"/>
</calcChain>
</file>

<file path=xl/sharedStrings.xml><?xml version="1.0" encoding="utf-8"?>
<sst xmlns="http://schemas.openxmlformats.org/spreadsheetml/2006/main" count="86" uniqueCount="10">
  <si>
    <t>,</t>
  </si>
  <si>
    <t>(</t>
  </si>
  <si>
    <t>)</t>
  </si>
  <si>
    <t>W1</t>
  </si>
  <si>
    <t>W2</t>
  </si>
  <si>
    <t>X</t>
  </si>
  <si>
    <t>Y</t>
  </si>
  <si>
    <t>Column for Python: TSP_GA.py</t>
  </si>
  <si>
    <t>DISTANCE MATRIX</t>
  </si>
  <si>
    <t>(DISTANCES ROUNDED TO 1 DECIMAL PLACE)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</si>
</sst>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1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'2026'!$B$2:$B$26</c:f>
              <c:numCache>
                <c:formatCode>General</c:formatCode>
                <c:ptCount val="25"/>
                <c:pt idx="0">
                  <c:v>35</c:v>
                </c:pt>
                <c:pt idx="1">
                  <c:v>90</c:v>
                </c:pt>
                <c:pt idx="2">
                  <c:v>25</c:v>
                </c:pt>
                <c:pt idx="3">
                  <c:v>95</c:v>
                </c:pt>
                <c:pt idx="4">
                  <c:v>85</c:v>
                </c:pt>
                <c:pt idx="5">
                  <c:v>51</c:v>
                </c:pt>
                <c:pt idx="6">
                  <c:v>46</c:v>
                </c:pt>
                <c:pt idx="7">
                  <c:v>31</c:v>
                </c:pt>
                <c:pt idx="8">
                  <c:v>71</c:v>
                </c:pt>
                <c:pt idx="9">
                  <c:v>91</c:v>
                </c:pt>
                <c:pt idx="10">
                  <c:v>68</c:v>
                </c:pt>
                <c:pt idx="11">
                  <c:v>52</c:v>
                </c:pt>
                <c:pt idx="12">
                  <c:v>57</c:v>
                </c:pt>
                <c:pt idx="13">
                  <c:v>11</c:v>
                </c:pt>
                <c:pt idx="14">
                  <c:v>41</c:v>
                </c:pt>
                <c:pt idx="15">
                  <c:v>34</c:v>
                </c:pt>
                <c:pt idx="16">
                  <c:v>26</c:v>
                </c:pt>
                <c:pt idx="17">
                  <c:v>47</c:v>
                </c:pt>
                <c:pt idx="18">
                  <c:v>58</c:v>
                </c:pt>
                <c:pt idx="19">
                  <c:v>27</c:v>
                </c:pt>
                <c:pt idx="20">
                  <c:v>9</c:v>
                </c:pt>
                <c:pt idx="21">
                  <c:v>95</c:v>
                </c:pt>
                <c:pt idx="22">
                  <c:v>23</c:v>
                </c:pt>
                <c:pt idx="23">
                  <c:v>21</c:v>
                </c:pt>
                <c:pt idx="24">
                  <c:v>37</c:v>
                </c:pt>
              </c:numCache>
            </c:numRef>
          </c:xVal>
          <c:yVal>
            <c:numRef>
              <c:f>'2026'!$C$2:$C$26</c:f>
              <c:numCache>
                <c:formatCode>General</c:formatCode>
                <c:ptCount val="25"/>
                <c:pt idx="0">
                  <c:v>16</c:v>
                </c:pt>
                <c:pt idx="1">
                  <c:v>92</c:v>
                </c:pt>
                <c:pt idx="2">
                  <c:v>82</c:v>
                </c:pt>
                <c:pt idx="3">
                  <c:v>77</c:v>
                </c:pt>
                <c:pt idx="4">
                  <c:v>85</c:v>
                </c:pt>
                <c:pt idx="5">
                  <c:v>37</c:v>
                </c:pt>
                <c:pt idx="6">
                  <c:v>68</c:v>
                </c:pt>
                <c:pt idx="7">
                  <c:v>43</c:v>
                </c:pt>
                <c:pt idx="8">
                  <c:v>40</c:v>
                </c:pt>
                <c:pt idx="9">
                  <c:v>68</c:v>
                </c:pt>
                <c:pt idx="10">
                  <c:v>29</c:v>
                </c:pt>
                <c:pt idx="11">
                  <c:v>21</c:v>
                </c:pt>
                <c:pt idx="12">
                  <c:v>44</c:v>
                </c:pt>
                <c:pt idx="13">
                  <c:v>10</c:v>
                </c:pt>
                <c:pt idx="14">
                  <c:v>45</c:v>
                </c:pt>
                <c:pt idx="15">
                  <c:v>87</c:v>
                </c:pt>
                <c:pt idx="16">
                  <c:v>41</c:v>
                </c:pt>
                <c:pt idx="17">
                  <c:v>60</c:v>
                </c:pt>
                <c:pt idx="18">
                  <c:v>9</c:v>
                </c:pt>
                <c:pt idx="19">
                  <c:v>12</c:v>
                </c:pt>
                <c:pt idx="20">
                  <c:v>92</c:v>
                </c:pt>
                <c:pt idx="21">
                  <c:v>60</c:v>
                </c:pt>
                <c:pt idx="22">
                  <c:v>64</c:v>
                </c:pt>
                <c:pt idx="23">
                  <c:v>25</c:v>
                </c:pt>
                <c:pt idx="2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4-488C-978A-4E4D612A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15424"/>
        <c:axId val="111016960"/>
      </c:scatterChart>
      <c:valAx>
        <c:axId val="1110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016960"/>
        <c:crosses val="autoZero"/>
        <c:crossBetween val="midCat"/>
      </c:valAx>
      <c:valAx>
        <c:axId val="111016960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1015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204259</xdr:colOff>
      <xdr:row>2</xdr:row>
      <xdr:rowOff>3705</xdr:rowOff>
    </xdr:from>
    <xdr:to>
      <xdr:col>17</xdr:col>
      <xdr:colOff>517525</xdr:colOff>
      <xdr:row>16</xdr:row>
      <xdr:rowOff>84139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3EFAA-A2E9-40F1-BE25-7F061CA3C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93AE-9F29-4A9D-9F8D-DB23AC3348CC}">
  <dimension ref="A1:AA117"/>
  <sheetViews>
    <sheetView tabSelected="1" zoomScale="150" zoomScaleNormal="150" workbookViewId="0">
      <selection activeCell="B2" sqref="B2:C26"/>
    </sheetView>
  </sheetViews>
  <sheetFormatPr baseColWidth="10" defaultColWidth="8.83203125" defaultRowHeight="15" x14ac:dyDescent="0.2"/>
  <cols>
    <col min="2" max="3" width="8.83203125" style="1"/>
    <col min="8" max="8" width="9.5" customWidth="1"/>
  </cols>
  <sheetData>
    <row r="1" spans="1:8" x14ac:dyDescent="0.2">
      <c r="A1" s="8"/>
      <c r="B1" s="4" t="s">
        <v>5</v>
      </c>
      <c r="C1" s="4" t="s">
        <v>6</v>
      </c>
      <c r="H1" s="14" t="s">
        <v>7</v>
      </c>
    </row>
    <row r="2" spans="1:8" x14ac:dyDescent="0.2">
      <c r="A2" s="9">
        <v>1</v>
      </c>
      <c r="B2">
        <v>35</v>
      </c>
      <c r="C2">
        <v>16</v>
      </c>
      <c r="E2" s="17" t="s">
        <v>1</v>
      </c>
      <c r="F2" s="17" t="s">
        <v>0</v>
      </c>
      <c r="G2" s="17" t="s">
        <v>2</v>
      </c>
      <c r="H2" s="13" t="str">
        <f>CONCATENATE(E2,B2,F2,C2,G2,F2)</f>
        <v>(35,16),</v>
      </c>
    </row>
    <row r="3" spans="1:8" x14ac:dyDescent="0.2">
      <c r="A3" s="9">
        <v>2</v>
      </c>
      <c r="B3" s="19">
        <v>90</v>
      </c>
      <c r="C3" s="19">
        <v>92</v>
      </c>
      <c r="E3" s="17" t="s">
        <v>1</v>
      </c>
      <c r="F3" s="17" t="s">
        <v>0</v>
      </c>
      <c r="G3" s="17" t="s">
        <v>2</v>
      </c>
      <c r="H3" s="13" t="str">
        <f t="shared" ref="H3:H26" si="0">CONCATENATE(E3,B3,F3,C3,G3,F3)</f>
        <v>(90,92),</v>
      </c>
    </row>
    <row r="4" spans="1:8" x14ac:dyDescent="0.2">
      <c r="A4" s="9">
        <v>3</v>
      </c>
      <c r="B4">
        <v>25</v>
      </c>
      <c r="C4">
        <v>82</v>
      </c>
      <c r="E4" s="17" t="s">
        <v>1</v>
      </c>
      <c r="F4" s="17" t="s">
        <v>0</v>
      </c>
      <c r="G4" s="17" t="s">
        <v>2</v>
      </c>
      <c r="H4" s="13" t="str">
        <f t="shared" si="0"/>
        <v>(25,82),</v>
      </c>
    </row>
    <row r="5" spans="1:8" x14ac:dyDescent="0.2">
      <c r="A5" s="9">
        <v>4</v>
      </c>
      <c r="B5">
        <v>95</v>
      </c>
      <c r="C5">
        <v>77</v>
      </c>
      <c r="E5" s="17" t="s">
        <v>1</v>
      </c>
      <c r="F5" s="17" t="s">
        <v>0</v>
      </c>
      <c r="G5" s="17" t="s">
        <v>2</v>
      </c>
      <c r="H5" s="13" t="str">
        <f t="shared" si="0"/>
        <v>(95,77),</v>
      </c>
    </row>
    <row r="6" spans="1:8" x14ac:dyDescent="0.2">
      <c r="A6" s="9">
        <v>5</v>
      </c>
      <c r="B6">
        <v>85</v>
      </c>
      <c r="C6">
        <v>85</v>
      </c>
      <c r="E6" s="17" t="s">
        <v>1</v>
      </c>
      <c r="F6" s="17" t="s">
        <v>0</v>
      </c>
      <c r="G6" s="17" t="s">
        <v>2</v>
      </c>
      <c r="H6" s="13" t="str">
        <f t="shared" si="0"/>
        <v>(85,85),</v>
      </c>
    </row>
    <row r="7" spans="1:8" x14ac:dyDescent="0.2">
      <c r="A7" s="9">
        <v>6</v>
      </c>
      <c r="B7">
        <v>51</v>
      </c>
      <c r="C7">
        <v>37</v>
      </c>
      <c r="E7" s="17" t="s">
        <v>1</v>
      </c>
      <c r="F7" s="17" t="s">
        <v>0</v>
      </c>
      <c r="G7" s="17" t="s">
        <v>2</v>
      </c>
      <c r="H7" s="13" t="str">
        <f t="shared" si="0"/>
        <v>(51,37),</v>
      </c>
    </row>
    <row r="8" spans="1:8" x14ac:dyDescent="0.2">
      <c r="A8" s="9">
        <v>7</v>
      </c>
      <c r="B8">
        <v>46</v>
      </c>
      <c r="C8">
        <v>68</v>
      </c>
      <c r="E8" s="17" t="s">
        <v>1</v>
      </c>
      <c r="F8" s="17" t="s">
        <v>0</v>
      </c>
      <c r="G8" s="17" t="s">
        <v>2</v>
      </c>
      <c r="H8" s="13" t="str">
        <f t="shared" si="0"/>
        <v>(46,68),</v>
      </c>
    </row>
    <row r="9" spans="1:8" x14ac:dyDescent="0.2">
      <c r="A9" s="9">
        <v>8</v>
      </c>
      <c r="B9">
        <v>31</v>
      </c>
      <c r="C9">
        <v>43</v>
      </c>
      <c r="E9" s="17" t="s">
        <v>1</v>
      </c>
      <c r="F9" s="17" t="s">
        <v>0</v>
      </c>
      <c r="G9" s="17" t="s">
        <v>2</v>
      </c>
      <c r="H9" s="13" t="str">
        <f t="shared" si="0"/>
        <v>(31,43),</v>
      </c>
    </row>
    <row r="10" spans="1:8" x14ac:dyDescent="0.2">
      <c r="A10" s="9">
        <v>9</v>
      </c>
      <c r="B10">
        <v>71</v>
      </c>
      <c r="C10">
        <v>40</v>
      </c>
      <c r="E10" s="17" t="s">
        <v>1</v>
      </c>
      <c r="F10" s="17" t="s">
        <v>0</v>
      </c>
      <c r="G10" s="17" t="s">
        <v>2</v>
      </c>
      <c r="H10" s="13" t="str">
        <f t="shared" si="0"/>
        <v>(71,40),</v>
      </c>
    </row>
    <row r="11" spans="1:8" x14ac:dyDescent="0.2">
      <c r="A11" s="9">
        <v>10</v>
      </c>
      <c r="B11">
        <v>91</v>
      </c>
      <c r="C11">
        <v>68</v>
      </c>
      <c r="E11" s="17" t="s">
        <v>1</v>
      </c>
      <c r="F11" s="17" t="s">
        <v>0</v>
      </c>
      <c r="G11" s="17" t="s">
        <v>2</v>
      </c>
      <c r="H11" s="13" t="str">
        <f t="shared" si="0"/>
        <v>(91,68),</v>
      </c>
    </row>
    <row r="12" spans="1:8" x14ac:dyDescent="0.2">
      <c r="A12" s="9">
        <v>11</v>
      </c>
      <c r="B12" s="19">
        <v>68</v>
      </c>
      <c r="C12" s="19">
        <v>29</v>
      </c>
      <c r="E12" s="17" t="s">
        <v>1</v>
      </c>
      <c r="F12" s="17" t="s">
        <v>0</v>
      </c>
      <c r="G12" s="17" t="s">
        <v>2</v>
      </c>
      <c r="H12" s="13" t="str">
        <f t="shared" si="0"/>
        <v>(68,29),</v>
      </c>
    </row>
    <row r="13" spans="1:8" x14ac:dyDescent="0.2">
      <c r="A13" s="9">
        <v>12</v>
      </c>
      <c r="B13">
        <v>52</v>
      </c>
      <c r="C13">
        <v>21</v>
      </c>
      <c r="E13" s="17" t="s">
        <v>1</v>
      </c>
      <c r="F13" s="17" t="s">
        <v>0</v>
      </c>
      <c r="G13" s="17" t="s">
        <v>2</v>
      </c>
      <c r="H13" s="13" t="str">
        <f t="shared" si="0"/>
        <v>(52,21),</v>
      </c>
    </row>
    <row r="14" spans="1:8" x14ac:dyDescent="0.2">
      <c r="A14" s="9">
        <v>13</v>
      </c>
      <c r="B14">
        <v>57</v>
      </c>
      <c r="C14">
        <v>44</v>
      </c>
      <c r="E14" s="17" t="s">
        <v>1</v>
      </c>
      <c r="F14" s="17" t="s">
        <v>0</v>
      </c>
      <c r="G14" s="17" t="s">
        <v>2</v>
      </c>
      <c r="H14" s="13" t="str">
        <f t="shared" si="0"/>
        <v>(57,44),</v>
      </c>
    </row>
    <row r="15" spans="1:8" x14ac:dyDescent="0.2">
      <c r="A15" s="9">
        <v>14</v>
      </c>
      <c r="B15">
        <v>11</v>
      </c>
      <c r="C15">
        <v>10</v>
      </c>
      <c r="E15" s="17" t="s">
        <v>1</v>
      </c>
      <c r="F15" s="17" t="s">
        <v>0</v>
      </c>
      <c r="G15" s="17" t="s">
        <v>2</v>
      </c>
      <c r="H15" s="13" t="str">
        <f t="shared" si="0"/>
        <v>(11,10),</v>
      </c>
    </row>
    <row r="16" spans="1:8" x14ac:dyDescent="0.2">
      <c r="A16" s="9">
        <v>15</v>
      </c>
      <c r="B16">
        <v>41</v>
      </c>
      <c r="C16">
        <v>45</v>
      </c>
      <c r="E16" s="17" t="s">
        <v>1</v>
      </c>
      <c r="F16" s="17" t="s">
        <v>0</v>
      </c>
      <c r="G16" s="17" t="s">
        <v>2</v>
      </c>
      <c r="H16" s="13" t="str">
        <f t="shared" si="0"/>
        <v>(41,45),</v>
      </c>
    </row>
    <row r="17" spans="1:27" x14ac:dyDescent="0.2">
      <c r="A17" s="9">
        <v>16</v>
      </c>
      <c r="B17">
        <v>34</v>
      </c>
      <c r="C17">
        <v>87</v>
      </c>
      <c r="E17" s="17" t="s">
        <v>1</v>
      </c>
      <c r="F17" s="17" t="s">
        <v>0</v>
      </c>
      <c r="G17" s="17" t="s">
        <v>2</v>
      </c>
      <c r="H17" s="13" t="str">
        <f t="shared" si="0"/>
        <v>(34,87),</v>
      </c>
    </row>
    <row r="18" spans="1:27" x14ac:dyDescent="0.2">
      <c r="A18" s="9">
        <v>17</v>
      </c>
      <c r="B18">
        <v>26</v>
      </c>
      <c r="C18">
        <v>41</v>
      </c>
      <c r="E18" s="17" t="s">
        <v>1</v>
      </c>
      <c r="F18" s="17" t="s">
        <v>0</v>
      </c>
      <c r="G18" s="17" t="s">
        <v>2</v>
      </c>
      <c r="H18" s="13" t="str">
        <f t="shared" si="0"/>
        <v>(26,41),</v>
      </c>
    </row>
    <row r="19" spans="1:27" x14ac:dyDescent="0.2">
      <c r="A19" s="9">
        <v>18</v>
      </c>
      <c r="B19">
        <v>47</v>
      </c>
      <c r="C19">
        <v>60</v>
      </c>
      <c r="E19" s="17" t="s">
        <v>1</v>
      </c>
      <c r="F19" s="17" t="s">
        <v>0</v>
      </c>
      <c r="G19" s="17" t="s">
        <v>2</v>
      </c>
      <c r="H19" s="13" t="str">
        <f t="shared" si="0"/>
        <v>(47,60),</v>
      </c>
    </row>
    <row r="20" spans="1:27" x14ac:dyDescent="0.2">
      <c r="A20" s="9">
        <v>19</v>
      </c>
      <c r="B20">
        <v>58</v>
      </c>
      <c r="C20">
        <v>9</v>
      </c>
      <c r="E20" s="17" t="s">
        <v>1</v>
      </c>
      <c r="F20" s="17" t="s">
        <v>0</v>
      </c>
      <c r="G20" s="17" t="s">
        <v>2</v>
      </c>
      <c r="H20" s="13" t="str">
        <f t="shared" si="0"/>
        <v>(58,9),</v>
      </c>
    </row>
    <row r="21" spans="1:27" x14ac:dyDescent="0.2">
      <c r="A21" s="9">
        <v>20</v>
      </c>
      <c r="B21">
        <v>27</v>
      </c>
      <c r="C21">
        <v>12</v>
      </c>
      <c r="E21" s="17" t="s">
        <v>1</v>
      </c>
      <c r="F21" s="17" t="s">
        <v>0</v>
      </c>
      <c r="G21" s="17" t="s">
        <v>2</v>
      </c>
      <c r="H21" s="13" t="str">
        <f t="shared" si="0"/>
        <v>(27,12),</v>
      </c>
    </row>
    <row r="22" spans="1:27" x14ac:dyDescent="0.2">
      <c r="A22" s="9">
        <v>21</v>
      </c>
      <c r="B22">
        <v>9</v>
      </c>
      <c r="C22">
        <v>92</v>
      </c>
      <c r="E22" s="17" t="s">
        <v>1</v>
      </c>
      <c r="F22" s="17" t="s">
        <v>0</v>
      </c>
      <c r="G22" s="17" t="s">
        <v>2</v>
      </c>
      <c r="H22" s="13" t="str">
        <f t="shared" si="0"/>
        <v>(9,92),</v>
      </c>
    </row>
    <row r="23" spans="1:27" x14ac:dyDescent="0.2">
      <c r="A23" s="9">
        <v>22</v>
      </c>
      <c r="B23">
        <v>95</v>
      </c>
      <c r="C23">
        <v>60</v>
      </c>
      <c r="E23" s="17" t="s">
        <v>1</v>
      </c>
      <c r="F23" s="17" t="s">
        <v>0</v>
      </c>
      <c r="G23" s="17" t="s">
        <v>2</v>
      </c>
      <c r="H23" s="13" t="str">
        <f t="shared" si="0"/>
        <v>(95,60),</v>
      </c>
    </row>
    <row r="24" spans="1:27" x14ac:dyDescent="0.2">
      <c r="A24" s="9">
        <v>23</v>
      </c>
      <c r="B24">
        <v>23</v>
      </c>
      <c r="C24">
        <v>64</v>
      </c>
      <c r="E24" s="17" t="s">
        <v>1</v>
      </c>
      <c r="F24" s="17" t="s">
        <v>0</v>
      </c>
      <c r="G24" s="17" t="s">
        <v>2</v>
      </c>
      <c r="H24" s="13" t="str">
        <f t="shared" si="0"/>
        <v>(23,64),</v>
      </c>
    </row>
    <row r="25" spans="1:27" x14ac:dyDescent="0.2">
      <c r="A25" s="10" t="s">
        <v>3</v>
      </c>
      <c r="B25" s="3">
        <v>21</v>
      </c>
      <c r="C25" s="3">
        <v>25</v>
      </c>
      <c r="D25" s="3"/>
      <c r="E25" s="17" t="s">
        <v>1</v>
      </c>
      <c r="F25" s="17" t="s">
        <v>0</v>
      </c>
      <c r="G25" s="17" t="s">
        <v>2</v>
      </c>
      <c r="H25" s="13" t="str">
        <f t="shared" si="0"/>
        <v>(21,25),</v>
      </c>
      <c r="I25" s="3"/>
      <c r="J25" s="3"/>
    </row>
    <row r="26" spans="1:27" x14ac:dyDescent="0.2">
      <c r="A26" s="10" t="s">
        <v>4</v>
      </c>
      <c r="B26" s="3">
        <v>37</v>
      </c>
      <c r="C26" s="3">
        <v>70</v>
      </c>
      <c r="D26" s="3"/>
      <c r="E26" s="17" t="s">
        <v>1</v>
      </c>
      <c r="F26" s="17" t="s">
        <v>0</v>
      </c>
      <c r="G26" s="17" t="s">
        <v>2</v>
      </c>
      <c r="H26" s="13" t="str">
        <f t="shared" si="0"/>
        <v>(37,70),</v>
      </c>
      <c r="I26" s="3"/>
      <c r="J26" s="3"/>
    </row>
    <row r="28" spans="1:27" x14ac:dyDescent="0.2">
      <c r="B28" s="18" t="s">
        <v>8</v>
      </c>
      <c r="C28" s="2"/>
      <c r="D28" t="s">
        <v>9</v>
      </c>
    </row>
    <row r="29" spans="1:27" x14ac:dyDescent="0.2">
      <c r="B29" s="6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  <c r="O29" s="5">
        <v>13</v>
      </c>
      <c r="P29" s="5">
        <v>14</v>
      </c>
      <c r="Q29" s="5">
        <v>15</v>
      </c>
      <c r="R29" s="5">
        <v>16</v>
      </c>
      <c r="S29" s="5">
        <v>17</v>
      </c>
      <c r="T29" s="5">
        <v>18</v>
      </c>
      <c r="U29" s="5">
        <v>19</v>
      </c>
      <c r="V29" s="5">
        <v>20</v>
      </c>
      <c r="W29" s="5">
        <v>21</v>
      </c>
      <c r="X29" s="5">
        <v>22</v>
      </c>
      <c r="Y29" s="5">
        <v>23</v>
      </c>
      <c r="Z29" s="12" t="s">
        <v>3</v>
      </c>
      <c r="AA29" s="12" t="s">
        <v>4</v>
      </c>
    </row>
    <row r="30" spans="1:27" x14ac:dyDescent="0.2">
      <c r="B30" s="7">
        <v>1</v>
      </c>
      <c r="C30" s="16">
        <f>0</f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x14ac:dyDescent="0.2">
      <c r="B31" s="7">
        <v>2</v>
      </c>
      <c r="C31" s="15">
        <f>ROUND((($B$2-$B3)^2+($C$2-$C3)^2)^0.5,1)</f>
        <v>93.8</v>
      </c>
      <c r="D31" s="16"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x14ac:dyDescent="0.2">
      <c r="B32" s="7">
        <v>3</v>
      </c>
      <c r="C32" s="15">
        <f t="shared" ref="C32:C54" si="1">ROUND((($B$2-$B4)^2+($C$2-$C4)^2)^0.5,1)</f>
        <v>66.8</v>
      </c>
      <c r="D32" s="15">
        <f>ROUND((($B$3-$B4)^2+($C$3-$C4)^2)^0.5,1)</f>
        <v>65.8</v>
      </c>
      <c r="E32" s="16">
        <v>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x14ac:dyDescent="0.2">
      <c r="B33" s="7">
        <v>4</v>
      </c>
      <c r="C33" s="15">
        <f t="shared" si="1"/>
        <v>85.6</v>
      </c>
      <c r="D33" s="15">
        <f t="shared" ref="D33:D54" si="2">ROUND((($B$3-$B5)^2+($C$3-$C5)^2)^0.5,1)</f>
        <v>15.8</v>
      </c>
      <c r="E33" s="15">
        <f>ROUND((($B$4-$B5)^2+($C$4-$C5)^2)^0.5,1)</f>
        <v>70.2</v>
      </c>
      <c r="F33" s="16">
        <v>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x14ac:dyDescent="0.2">
      <c r="B34" s="7">
        <v>5</v>
      </c>
      <c r="C34" s="15">
        <f t="shared" si="1"/>
        <v>85.2</v>
      </c>
      <c r="D34" s="15">
        <f t="shared" si="2"/>
        <v>8.6</v>
      </c>
      <c r="E34" s="15">
        <f t="shared" ref="E34:E54" si="3">ROUND((($B$4-$B6)^2+($C$4-$C6)^2)^0.5,1)</f>
        <v>60.1</v>
      </c>
      <c r="F34" s="15">
        <f>ROUND((($B$5-$B6)^2+($C$5-$C6)^2)^0.5,1)</f>
        <v>12.8</v>
      </c>
      <c r="G34" s="16">
        <v>0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x14ac:dyDescent="0.2">
      <c r="B35" s="7">
        <v>6</v>
      </c>
      <c r="C35" s="15">
        <f t="shared" si="1"/>
        <v>26.4</v>
      </c>
      <c r="D35" s="15">
        <f t="shared" si="2"/>
        <v>67.400000000000006</v>
      </c>
      <c r="E35" s="15">
        <f t="shared" si="3"/>
        <v>52</v>
      </c>
      <c r="F35" s="15">
        <f t="shared" ref="F35:F54" si="4">ROUND((($B$5-$B7)^2+($C$5-$C7)^2)^0.5,1)</f>
        <v>59.5</v>
      </c>
      <c r="G35" s="15">
        <f>ROUND((($B$6-$B7)^2+($C$6-$C7)^2)^0.5,1)</f>
        <v>58.8</v>
      </c>
      <c r="H35" s="16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2:27" x14ac:dyDescent="0.2">
      <c r="B36" s="7">
        <v>7</v>
      </c>
      <c r="C36" s="15">
        <f t="shared" si="1"/>
        <v>53.2</v>
      </c>
      <c r="D36" s="15">
        <f t="shared" si="2"/>
        <v>50.1</v>
      </c>
      <c r="E36" s="15">
        <f t="shared" si="3"/>
        <v>25.2</v>
      </c>
      <c r="F36" s="15">
        <f t="shared" si="4"/>
        <v>49.8</v>
      </c>
      <c r="G36" s="15">
        <f t="shared" ref="G36:G54" si="5">ROUND((($B$6-$B8)^2+($C$6-$C8)^2)^0.5,1)</f>
        <v>42.5</v>
      </c>
      <c r="H36" s="15">
        <f>ROUND((($B$7-$B8)^2+($C$7-$C8)^2)^0.5,1)</f>
        <v>31.4</v>
      </c>
      <c r="I36" s="16">
        <v>0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2:27" x14ac:dyDescent="0.2">
      <c r="B37" s="7">
        <v>8</v>
      </c>
      <c r="C37" s="15">
        <f t="shared" si="1"/>
        <v>27.3</v>
      </c>
      <c r="D37" s="15">
        <f t="shared" si="2"/>
        <v>76.7</v>
      </c>
      <c r="E37" s="15">
        <f t="shared" si="3"/>
        <v>39.5</v>
      </c>
      <c r="F37" s="15">
        <f t="shared" si="4"/>
        <v>72.5</v>
      </c>
      <c r="G37" s="15">
        <f t="shared" si="5"/>
        <v>68.400000000000006</v>
      </c>
      <c r="H37" s="15">
        <f t="shared" ref="H37:H54" si="6">ROUND((($B$7-$B9)^2+($C$7-$C9)^2)^0.5,1)</f>
        <v>20.9</v>
      </c>
      <c r="I37" s="15">
        <f>ROUND((($B$8-$B9)^2+($C$8-$C9)^2)^0.5,1)</f>
        <v>29.2</v>
      </c>
      <c r="J37" s="16"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2:27" x14ac:dyDescent="0.2">
      <c r="B38" s="7">
        <v>9</v>
      </c>
      <c r="C38" s="15">
        <f t="shared" si="1"/>
        <v>43.3</v>
      </c>
      <c r="D38" s="15">
        <f t="shared" si="2"/>
        <v>55.4</v>
      </c>
      <c r="E38" s="15">
        <f t="shared" si="3"/>
        <v>62.3</v>
      </c>
      <c r="F38" s="15">
        <f t="shared" si="4"/>
        <v>44.1</v>
      </c>
      <c r="G38" s="15">
        <f t="shared" si="5"/>
        <v>47.1</v>
      </c>
      <c r="H38" s="15">
        <f t="shared" si="6"/>
        <v>20.2</v>
      </c>
      <c r="I38" s="15">
        <f t="shared" ref="I38:I54" si="7">ROUND((($B$8-$B10)^2+($C$8-$C10)^2)^0.5,1)</f>
        <v>37.5</v>
      </c>
      <c r="J38" s="15">
        <f>ROUND((($B$9-$B10)^2+($C$9-$C10)^2)^0.5,1)</f>
        <v>40.1</v>
      </c>
      <c r="K38" s="16">
        <v>0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x14ac:dyDescent="0.2">
      <c r="B39" s="7">
        <v>10</v>
      </c>
      <c r="C39" s="15">
        <f t="shared" si="1"/>
        <v>76.400000000000006</v>
      </c>
      <c r="D39" s="15">
        <f t="shared" si="2"/>
        <v>24</v>
      </c>
      <c r="E39" s="15">
        <f t="shared" si="3"/>
        <v>67.5</v>
      </c>
      <c r="F39" s="15">
        <f t="shared" si="4"/>
        <v>9.8000000000000007</v>
      </c>
      <c r="G39" s="15">
        <f t="shared" si="5"/>
        <v>18</v>
      </c>
      <c r="H39" s="15">
        <f t="shared" si="6"/>
        <v>50.6</v>
      </c>
      <c r="I39" s="15">
        <f t="shared" si="7"/>
        <v>45</v>
      </c>
      <c r="J39" s="15">
        <f t="shared" ref="J39:J42" si="8">ROUND((($B$9-$B11)^2+($C$9-$C11)^2)^0.5,1)</f>
        <v>65</v>
      </c>
      <c r="K39" s="15">
        <f>ROUND((($B$10-$B11)^2+($C$10-$C11)^2)^0.5,1)</f>
        <v>34.4</v>
      </c>
      <c r="L39" s="16">
        <v>0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2:27" x14ac:dyDescent="0.2">
      <c r="B40" s="7">
        <v>11</v>
      </c>
      <c r="C40" s="15">
        <f t="shared" si="1"/>
        <v>35.5</v>
      </c>
      <c r="D40" s="15">
        <f t="shared" si="2"/>
        <v>66.7</v>
      </c>
      <c r="E40" s="15">
        <f t="shared" si="3"/>
        <v>68.2</v>
      </c>
      <c r="F40" s="15">
        <f t="shared" si="4"/>
        <v>55.1</v>
      </c>
      <c r="G40" s="15">
        <f t="shared" si="5"/>
        <v>58.5</v>
      </c>
      <c r="H40" s="15">
        <f t="shared" si="6"/>
        <v>18.8</v>
      </c>
      <c r="I40" s="15">
        <f t="shared" si="7"/>
        <v>44.8</v>
      </c>
      <c r="J40" s="15">
        <f t="shared" si="8"/>
        <v>39.6</v>
      </c>
      <c r="K40" s="15">
        <f t="shared" ref="K40:K54" si="9">ROUND((($B$10-$B12)^2+($C$10-$C12)^2)^0.5,1)</f>
        <v>11.4</v>
      </c>
      <c r="L40" s="15">
        <f t="shared" ref="L40:M54" si="10">ROUND((($B$11-$B12)^2+($C$11-$C12)^2)^0.5,1)</f>
        <v>45.3</v>
      </c>
      <c r="M40" s="16">
        <v>0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2:27" x14ac:dyDescent="0.2">
      <c r="B41" s="7">
        <v>12</v>
      </c>
      <c r="C41" s="15">
        <f t="shared" si="1"/>
        <v>17.7</v>
      </c>
      <c r="D41" s="15">
        <f t="shared" si="2"/>
        <v>80.5</v>
      </c>
      <c r="E41" s="15">
        <f t="shared" si="3"/>
        <v>66.7</v>
      </c>
      <c r="F41" s="15">
        <f t="shared" si="4"/>
        <v>70.599999999999994</v>
      </c>
      <c r="G41" s="15">
        <f t="shared" si="5"/>
        <v>72</v>
      </c>
      <c r="H41" s="15">
        <f t="shared" si="6"/>
        <v>16</v>
      </c>
      <c r="I41" s="15">
        <f t="shared" si="7"/>
        <v>47.4</v>
      </c>
      <c r="J41" s="15">
        <f t="shared" si="8"/>
        <v>30.4</v>
      </c>
      <c r="K41" s="15">
        <f t="shared" si="9"/>
        <v>26.9</v>
      </c>
      <c r="L41" s="15">
        <f t="shared" si="10"/>
        <v>61.1</v>
      </c>
      <c r="M41" s="15">
        <f t="shared" ref="M41:M53" si="11">ROUND((($B$12-$B13)^2+($C$12-$C13)^2)^0.5,1)</f>
        <v>17.899999999999999</v>
      </c>
      <c r="N41" s="16">
        <v>0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2:27" x14ac:dyDescent="0.2">
      <c r="B42" s="7">
        <v>13</v>
      </c>
      <c r="C42" s="15">
        <f t="shared" si="1"/>
        <v>35.6</v>
      </c>
      <c r="D42" s="15">
        <f t="shared" si="2"/>
        <v>58.2</v>
      </c>
      <c r="E42" s="15">
        <f t="shared" si="3"/>
        <v>49.7</v>
      </c>
      <c r="F42" s="15">
        <f t="shared" si="4"/>
        <v>50.3</v>
      </c>
      <c r="G42" s="15">
        <f t="shared" si="5"/>
        <v>49.6</v>
      </c>
      <c r="H42" s="15">
        <f t="shared" si="6"/>
        <v>9.1999999999999993</v>
      </c>
      <c r="I42" s="15">
        <f t="shared" si="7"/>
        <v>26.4</v>
      </c>
      <c r="J42" s="15">
        <f t="shared" si="8"/>
        <v>26</v>
      </c>
      <c r="K42" s="15">
        <f t="shared" si="9"/>
        <v>14.6</v>
      </c>
      <c r="L42" s="15">
        <f t="shared" si="10"/>
        <v>41.6</v>
      </c>
      <c r="M42" s="15">
        <f t="shared" si="11"/>
        <v>18.600000000000001</v>
      </c>
      <c r="N42" s="15">
        <f>ROUND((($B$13-$B14)^2+($C$13-$C14)^2)^0.5,1)</f>
        <v>23.5</v>
      </c>
      <c r="O42" s="16">
        <v>0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2:27" x14ac:dyDescent="0.2">
      <c r="B43" s="7">
        <v>14</v>
      </c>
      <c r="C43" s="15">
        <f t="shared" si="1"/>
        <v>24.7</v>
      </c>
      <c r="D43" s="15">
        <f t="shared" si="2"/>
        <v>113.9</v>
      </c>
      <c r="E43" s="15">
        <f t="shared" si="3"/>
        <v>73.3</v>
      </c>
      <c r="F43" s="15">
        <f t="shared" si="4"/>
        <v>107.4</v>
      </c>
      <c r="G43" s="15">
        <f t="shared" si="5"/>
        <v>105.4</v>
      </c>
      <c r="H43" s="15">
        <f t="shared" si="6"/>
        <v>48.3</v>
      </c>
      <c r="I43" s="15">
        <f t="shared" si="7"/>
        <v>67.7</v>
      </c>
      <c r="J43" s="15">
        <f t="shared" ref="J39:J54" si="12">ROUND((($B$9-$B15)^2+($C$9-$C15)^2)^0.5,1)</f>
        <v>38.6</v>
      </c>
      <c r="K43" s="15">
        <f t="shared" si="9"/>
        <v>67.099999999999994</v>
      </c>
      <c r="L43" s="15">
        <f t="shared" si="10"/>
        <v>98.8</v>
      </c>
      <c r="M43" s="15">
        <f t="shared" si="11"/>
        <v>60.1</v>
      </c>
      <c r="N43" s="15">
        <f t="shared" ref="N43:N54" si="13">ROUND((($B$13-$B15)^2+($C$13-$C15)^2)^0.5,1)</f>
        <v>42.4</v>
      </c>
      <c r="O43" s="15">
        <f>ROUND((($B$14-$B15)^2+($C$14-$C15)^2)^0.5,1)</f>
        <v>57.2</v>
      </c>
      <c r="P43" s="16">
        <v>0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x14ac:dyDescent="0.2">
      <c r="B44" s="7">
        <v>15</v>
      </c>
      <c r="C44" s="15">
        <f t="shared" si="1"/>
        <v>29.6</v>
      </c>
      <c r="D44" s="15">
        <f t="shared" si="2"/>
        <v>67.900000000000006</v>
      </c>
      <c r="E44" s="15">
        <f t="shared" si="3"/>
        <v>40.299999999999997</v>
      </c>
      <c r="F44" s="15">
        <f t="shared" si="4"/>
        <v>62.8</v>
      </c>
      <c r="G44" s="15">
        <f t="shared" si="5"/>
        <v>59.5</v>
      </c>
      <c r="H44" s="15">
        <f t="shared" si="6"/>
        <v>12.8</v>
      </c>
      <c r="I44" s="15">
        <f t="shared" si="7"/>
        <v>23.5</v>
      </c>
      <c r="J44" s="15">
        <f t="shared" si="12"/>
        <v>10.199999999999999</v>
      </c>
      <c r="K44" s="15">
        <f t="shared" si="9"/>
        <v>30.4</v>
      </c>
      <c r="L44" s="15">
        <f t="shared" si="10"/>
        <v>55</v>
      </c>
      <c r="M44" s="15">
        <f t="shared" si="11"/>
        <v>31.4</v>
      </c>
      <c r="N44" s="15">
        <f t="shared" si="13"/>
        <v>26.4</v>
      </c>
      <c r="O44" s="15">
        <f t="shared" ref="O44:O54" si="14">ROUND((($B$14-$B16)^2+($C$14-$C16)^2)^0.5,1)</f>
        <v>16</v>
      </c>
      <c r="P44" s="15">
        <f>ROUND((($B$15-$B16)^2+($C$15-$C16)^2)^0.5,1)</f>
        <v>46.1</v>
      </c>
      <c r="Q44" s="16">
        <v>0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2:27" x14ac:dyDescent="0.2">
      <c r="B45" s="7">
        <v>16</v>
      </c>
      <c r="C45" s="15">
        <f t="shared" si="1"/>
        <v>71</v>
      </c>
      <c r="D45" s="15">
        <f t="shared" si="2"/>
        <v>56.2</v>
      </c>
      <c r="E45" s="15">
        <f t="shared" si="3"/>
        <v>10.3</v>
      </c>
      <c r="F45" s="15">
        <f t="shared" si="4"/>
        <v>61.8</v>
      </c>
      <c r="G45" s="15">
        <f t="shared" si="5"/>
        <v>51</v>
      </c>
      <c r="H45" s="15">
        <f t="shared" si="6"/>
        <v>52.8</v>
      </c>
      <c r="I45" s="15">
        <f t="shared" si="7"/>
        <v>22.5</v>
      </c>
      <c r="J45" s="15">
        <f t="shared" si="12"/>
        <v>44.1</v>
      </c>
      <c r="K45" s="15">
        <f t="shared" si="9"/>
        <v>59.8</v>
      </c>
      <c r="L45" s="15">
        <f t="shared" si="10"/>
        <v>60.1</v>
      </c>
      <c r="M45" s="15">
        <f t="shared" si="11"/>
        <v>67.2</v>
      </c>
      <c r="N45" s="15">
        <f t="shared" si="13"/>
        <v>68.400000000000006</v>
      </c>
      <c r="O45" s="15">
        <f t="shared" si="14"/>
        <v>48.8</v>
      </c>
      <c r="P45" s="15">
        <f t="shared" ref="P45:P54" si="15">ROUND((($B$15-$B17)^2+($C$15-$C17)^2)^0.5,1)</f>
        <v>80.400000000000006</v>
      </c>
      <c r="Q45" s="15">
        <f>ROUND((($B$16-$B17)^2+($C$16-$C17)^2)^0.5,1)</f>
        <v>42.6</v>
      </c>
      <c r="R45" s="16">
        <v>0</v>
      </c>
      <c r="S45" s="15"/>
      <c r="T45" s="15"/>
      <c r="U45" s="15"/>
      <c r="V45" s="15"/>
      <c r="W45" s="15"/>
      <c r="X45" s="15"/>
      <c r="Y45" s="15"/>
      <c r="Z45" s="15"/>
      <c r="AA45" s="15"/>
    </row>
    <row r="46" spans="2:27" x14ac:dyDescent="0.2">
      <c r="B46" s="7">
        <v>17</v>
      </c>
      <c r="C46" s="15">
        <f t="shared" si="1"/>
        <v>26.6</v>
      </c>
      <c r="D46" s="15">
        <f t="shared" si="2"/>
        <v>81.8</v>
      </c>
      <c r="E46" s="15">
        <f t="shared" si="3"/>
        <v>41</v>
      </c>
      <c r="F46" s="15">
        <f t="shared" si="4"/>
        <v>77.8</v>
      </c>
      <c r="G46" s="15">
        <f t="shared" si="5"/>
        <v>73.599999999999994</v>
      </c>
      <c r="H46" s="15">
        <f t="shared" si="6"/>
        <v>25.3</v>
      </c>
      <c r="I46" s="15">
        <f t="shared" si="7"/>
        <v>33.6</v>
      </c>
      <c r="J46" s="15">
        <f t="shared" si="12"/>
        <v>5.4</v>
      </c>
      <c r="K46" s="15">
        <f t="shared" si="9"/>
        <v>45</v>
      </c>
      <c r="L46" s="15">
        <f t="shared" si="10"/>
        <v>70.400000000000006</v>
      </c>
      <c r="M46" s="15">
        <f t="shared" si="11"/>
        <v>43.7</v>
      </c>
      <c r="N46" s="15">
        <f t="shared" si="13"/>
        <v>32.799999999999997</v>
      </c>
      <c r="O46" s="15">
        <f t="shared" si="14"/>
        <v>31.1</v>
      </c>
      <c r="P46" s="15">
        <f t="shared" si="15"/>
        <v>34.4</v>
      </c>
      <c r="Q46" s="15">
        <f t="shared" ref="Q46:Q54" si="16">ROUND((($B$16-$B18)^2+($C$16-$C18)^2)^0.5,1)</f>
        <v>15.5</v>
      </c>
      <c r="R46" s="15">
        <f>ROUND((($B$17-$B18)^2+($C$17-$C18)^2)^0.5,1)</f>
        <v>46.7</v>
      </c>
      <c r="S46" s="16">
        <v>0</v>
      </c>
      <c r="T46" s="15"/>
      <c r="U46" s="15"/>
      <c r="V46" s="15"/>
      <c r="W46" s="15"/>
      <c r="X46" s="15"/>
      <c r="Y46" s="15"/>
      <c r="Z46" s="15"/>
      <c r="AA46" s="15"/>
    </row>
    <row r="47" spans="2:27" x14ac:dyDescent="0.2">
      <c r="B47" s="7">
        <v>18</v>
      </c>
      <c r="C47" s="15">
        <f t="shared" si="1"/>
        <v>45.6</v>
      </c>
      <c r="D47" s="15">
        <f t="shared" si="2"/>
        <v>53.6</v>
      </c>
      <c r="E47" s="15">
        <f t="shared" si="3"/>
        <v>31.1</v>
      </c>
      <c r="F47" s="15">
        <f t="shared" si="4"/>
        <v>50.9</v>
      </c>
      <c r="G47" s="15">
        <f t="shared" si="5"/>
        <v>45.5</v>
      </c>
      <c r="H47" s="15">
        <f t="shared" si="6"/>
        <v>23.3</v>
      </c>
      <c r="I47" s="15">
        <f t="shared" si="7"/>
        <v>8.1</v>
      </c>
      <c r="J47" s="15">
        <f t="shared" si="12"/>
        <v>23.3</v>
      </c>
      <c r="K47" s="15">
        <f t="shared" si="9"/>
        <v>31.2</v>
      </c>
      <c r="L47" s="15">
        <f t="shared" si="10"/>
        <v>44.7</v>
      </c>
      <c r="M47" s="15">
        <f t="shared" si="11"/>
        <v>37.4</v>
      </c>
      <c r="N47" s="15">
        <f t="shared" si="13"/>
        <v>39.299999999999997</v>
      </c>
      <c r="O47" s="15">
        <f t="shared" si="14"/>
        <v>18.899999999999999</v>
      </c>
      <c r="P47" s="15">
        <f t="shared" si="15"/>
        <v>61.6</v>
      </c>
      <c r="Q47" s="15">
        <f t="shared" si="16"/>
        <v>16.2</v>
      </c>
      <c r="R47" s="15">
        <f t="shared" ref="R47:R54" si="17">ROUND((($B$17-$B19)^2+($C$17-$C19)^2)^0.5,1)</f>
        <v>30</v>
      </c>
      <c r="S47" s="15">
        <f>ROUND((($B$18-$B19)^2+($C$18-$C19)^2)^0.5,1)</f>
        <v>28.3</v>
      </c>
      <c r="T47" s="16">
        <v>0</v>
      </c>
      <c r="U47" s="15"/>
      <c r="V47" s="15"/>
      <c r="W47" s="15"/>
      <c r="X47" s="15"/>
      <c r="Y47" s="15"/>
      <c r="Z47" s="15"/>
      <c r="AA47" s="15"/>
    </row>
    <row r="48" spans="2:27" x14ac:dyDescent="0.2">
      <c r="B48" s="7">
        <v>19</v>
      </c>
      <c r="C48" s="15">
        <f t="shared" si="1"/>
        <v>24</v>
      </c>
      <c r="D48" s="15">
        <f t="shared" si="2"/>
        <v>89</v>
      </c>
      <c r="E48" s="15">
        <f t="shared" si="3"/>
        <v>80.099999999999994</v>
      </c>
      <c r="F48" s="15">
        <f t="shared" si="4"/>
        <v>77.400000000000006</v>
      </c>
      <c r="G48" s="15">
        <f t="shared" si="5"/>
        <v>80.7</v>
      </c>
      <c r="H48" s="15">
        <f t="shared" si="6"/>
        <v>28.9</v>
      </c>
      <c r="I48" s="15">
        <f t="shared" si="7"/>
        <v>60.2</v>
      </c>
      <c r="J48" s="15">
        <f t="shared" si="12"/>
        <v>43.4</v>
      </c>
      <c r="K48" s="15">
        <f t="shared" si="9"/>
        <v>33.6</v>
      </c>
      <c r="L48" s="15">
        <f t="shared" si="10"/>
        <v>67.599999999999994</v>
      </c>
      <c r="M48" s="15">
        <f t="shared" si="11"/>
        <v>22.4</v>
      </c>
      <c r="N48" s="15">
        <f t="shared" si="13"/>
        <v>13.4</v>
      </c>
      <c r="O48" s="15">
        <f t="shared" si="14"/>
        <v>35</v>
      </c>
      <c r="P48" s="15">
        <f t="shared" si="15"/>
        <v>47</v>
      </c>
      <c r="Q48" s="15">
        <f t="shared" si="16"/>
        <v>39.799999999999997</v>
      </c>
      <c r="R48" s="15">
        <f t="shared" si="17"/>
        <v>81.599999999999994</v>
      </c>
      <c r="S48" s="15">
        <f t="shared" ref="S48:S54" si="18">ROUND((($B$18-$B20)^2+($C$18-$C20)^2)^0.5,1)</f>
        <v>45.3</v>
      </c>
      <c r="T48" s="15">
        <f>ROUND((($B$19-$B20)^2+($C$19-$C20)^2)^0.5,1)</f>
        <v>52.2</v>
      </c>
      <c r="U48" s="16">
        <v>0</v>
      </c>
      <c r="V48" s="15"/>
      <c r="W48" s="15"/>
      <c r="X48" s="15"/>
      <c r="Y48" s="15"/>
      <c r="Z48" s="15"/>
      <c r="AA48" s="15"/>
    </row>
    <row r="49" spans="2:27" x14ac:dyDescent="0.2">
      <c r="B49" s="7">
        <v>20</v>
      </c>
      <c r="C49" s="15">
        <f t="shared" si="1"/>
        <v>8.9</v>
      </c>
      <c r="D49" s="15">
        <f t="shared" si="2"/>
        <v>101.8</v>
      </c>
      <c r="E49" s="15">
        <f t="shared" si="3"/>
        <v>70</v>
      </c>
      <c r="F49" s="15">
        <f t="shared" si="4"/>
        <v>94.1</v>
      </c>
      <c r="G49" s="15">
        <f t="shared" si="5"/>
        <v>93.2</v>
      </c>
      <c r="H49" s="15">
        <f t="shared" si="6"/>
        <v>34.700000000000003</v>
      </c>
      <c r="I49" s="15">
        <f t="shared" si="7"/>
        <v>59.1</v>
      </c>
      <c r="J49" s="15">
        <f t="shared" si="12"/>
        <v>31.3</v>
      </c>
      <c r="K49" s="15">
        <f t="shared" si="9"/>
        <v>52.2</v>
      </c>
      <c r="L49" s="15">
        <f t="shared" si="10"/>
        <v>85</v>
      </c>
      <c r="M49" s="15">
        <f t="shared" si="11"/>
        <v>44.4</v>
      </c>
      <c r="N49" s="15">
        <f t="shared" si="13"/>
        <v>26.6</v>
      </c>
      <c r="O49" s="15">
        <f t="shared" si="14"/>
        <v>43.9</v>
      </c>
      <c r="P49" s="15">
        <f t="shared" si="15"/>
        <v>16.100000000000001</v>
      </c>
      <c r="Q49" s="15">
        <f t="shared" si="16"/>
        <v>35.799999999999997</v>
      </c>
      <c r="R49" s="15">
        <f t="shared" si="17"/>
        <v>75.3</v>
      </c>
      <c r="S49" s="15">
        <f t="shared" si="18"/>
        <v>29</v>
      </c>
      <c r="T49" s="15">
        <f t="shared" ref="T49:T54" si="19">ROUND((($B$19-$B21)^2+($C$19-$C21)^2)^0.5,1)</f>
        <v>52</v>
      </c>
      <c r="U49" s="15">
        <f>ROUND((($B$20-$B21)^2+($C$20-$C21)^2)^0.5,1)</f>
        <v>31.1</v>
      </c>
      <c r="V49" s="16">
        <v>0</v>
      </c>
      <c r="W49" s="15"/>
      <c r="X49" s="15"/>
      <c r="Y49" s="15"/>
      <c r="Z49" s="15"/>
      <c r="AA49" s="15"/>
    </row>
    <row r="50" spans="2:27" x14ac:dyDescent="0.2">
      <c r="B50" s="7">
        <v>21</v>
      </c>
      <c r="C50" s="15">
        <f t="shared" si="1"/>
        <v>80.3</v>
      </c>
      <c r="D50" s="15">
        <f t="shared" si="2"/>
        <v>81</v>
      </c>
      <c r="E50" s="15">
        <f t="shared" si="3"/>
        <v>18.899999999999999</v>
      </c>
      <c r="F50" s="15">
        <f t="shared" si="4"/>
        <v>87.3</v>
      </c>
      <c r="G50" s="15">
        <f t="shared" si="5"/>
        <v>76.3</v>
      </c>
      <c r="H50" s="15">
        <f t="shared" si="6"/>
        <v>69.2</v>
      </c>
      <c r="I50" s="15">
        <f t="shared" si="7"/>
        <v>44.1</v>
      </c>
      <c r="J50" s="15">
        <f t="shared" si="12"/>
        <v>53.7</v>
      </c>
      <c r="K50" s="15">
        <f t="shared" si="9"/>
        <v>80.900000000000006</v>
      </c>
      <c r="L50" s="15">
        <f t="shared" si="10"/>
        <v>85.4</v>
      </c>
      <c r="M50" s="15">
        <f t="shared" si="11"/>
        <v>86.3</v>
      </c>
      <c r="N50" s="15">
        <f t="shared" si="13"/>
        <v>83</v>
      </c>
      <c r="O50" s="15">
        <f t="shared" si="14"/>
        <v>67.900000000000006</v>
      </c>
      <c r="P50" s="15">
        <f t="shared" si="15"/>
        <v>82</v>
      </c>
      <c r="Q50" s="15">
        <f t="shared" si="16"/>
        <v>56.9</v>
      </c>
      <c r="R50" s="15">
        <f t="shared" si="17"/>
        <v>25.5</v>
      </c>
      <c r="S50" s="15">
        <f t="shared" si="18"/>
        <v>53.8</v>
      </c>
      <c r="T50" s="15">
        <f t="shared" si="19"/>
        <v>49.7</v>
      </c>
      <c r="U50" s="15">
        <f t="shared" ref="U50:U54" si="20">ROUND((($B$20-$B22)^2+($C$20-$C22)^2)^0.5,1)</f>
        <v>96.4</v>
      </c>
      <c r="V50" s="15">
        <f>ROUND((($B$21-$B22)^2+($C$21-$C22)^2)^0.5,1)</f>
        <v>82</v>
      </c>
      <c r="W50" s="16">
        <v>0</v>
      </c>
      <c r="X50" s="15"/>
      <c r="Y50" s="15"/>
      <c r="Z50" s="15"/>
      <c r="AA50" s="15"/>
    </row>
    <row r="51" spans="2:27" x14ac:dyDescent="0.2">
      <c r="B51" s="7">
        <v>22</v>
      </c>
      <c r="C51" s="15">
        <f t="shared" si="1"/>
        <v>74.400000000000006</v>
      </c>
      <c r="D51" s="15">
        <f t="shared" si="2"/>
        <v>32.4</v>
      </c>
      <c r="E51" s="15">
        <f t="shared" si="3"/>
        <v>73.400000000000006</v>
      </c>
      <c r="F51" s="15">
        <f t="shared" si="4"/>
        <v>17</v>
      </c>
      <c r="G51" s="15">
        <f t="shared" si="5"/>
        <v>26.9</v>
      </c>
      <c r="H51" s="15">
        <f t="shared" si="6"/>
        <v>49.6</v>
      </c>
      <c r="I51" s="15">
        <f t="shared" si="7"/>
        <v>49.6</v>
      </c>
      <c r="J51" s="15">
        <f t="shared" si="12"/>
        <v>66.2</v>
      </c>
      <c r="K51" s="15">
        <f t="shared" si="9"/>
        <v>31.2</v>
      </c>
      <c r="L51" s="15">
        <f t="shared" si="10"/>
        <v>8.9</v>
      </c>
      <c r="M51" s="15">
        <f t="shared" si="11"/>
        <v>41.1</v>
      </c>
      <c r="N51" s="15">
        <f t="shared" si="13"/>
        <v>58.1</v>
      </c>
      <c r="O51" s="15">
        <f t="shared" si="14"/>
        <v>41.2</v>
      </c>
      <c r="P51" s="15">
        <f t="shared" si="15"/>
        <v>97.8</v>
      </c>
      <c r="Q51" s="15">
        <f t="shared" si="16"/>
        <v>56</v>
      </c>
      <c r="R51" s="15">
        <f t="shared" si="17"/>
        <v>66.7</v>
      </c>
      <c r="S51" s="15">
        <f t="shared" si="18"/>
        <v>71.599999999999994</v>
      </c>
      <c r="T51" s="15">
        <f t="shared" si="19"/>
        <v>48</v>
      </c>
      <c r="U51" s="15">
        <f t="shared" si="20"/>
        <v>63</v>
      </c>
      <c r="V51" s="15">
        <f t="shared" ref="V51:V54" si="21">ROUND((($B$21-$B23)^2+($C$21-$C23)^2)^0.5,1)</f>
        <v>83.2</v>
      </c>
      <c r="W51" s="15">
        <f>ROUND((($B$22-$B23)^2+($C$22-$C23)^2)^0.5,1)</f>
        <v>91.8</v>
      </c>
      <c r="X51" s="16">
        <v>0</v>
      </c>
      <c r="Y51" s="15"/>
      <c r="Z51" s="15"/>
      <c r="AA51" s="15"/>
    </row>
    <row r="52" spans="2:27" x14ac:dyDescent="0.2">
      <c r="B52" s="7">
        <v>23</v>
      </c>
      <c r="C52" s="15">
        <f t="shared" si="1"/>
        <v>49.5</v>
      </c>
      <c r="D52" s="15">
        <f t="shared" si="2"/>
        <v>72.599999999999994</v>
      </c>
      <c r="E52" s="15">
        <f t="shared" si="3"/>
        <v>18.100000000000001</v>
      </c>
      <c r="F52" s="15">
        <f t="shared" si="4"/>
        <v>73.2</v>
      </c>
      <c r="G52" s="15">
        <f t="shared" si="5"/>
        <v>65.5</v>
      </c>
      <c r="H52" s="15">
        <f t="shared" si="6"/>
        <v>38.9</v>
      </c>
      <c r="I52" s="15">
        <f t="shared" si="7"/>
        <v>23.3</v>
      </c>
      <c r="J52" s="15">
        <f t="shared" si="12"/>
        <v>22.5</v>
      </c>
      <c r="K52" s="15">
        <f t="shared" si="9"/>
        <v>53.7</v>
      </c>
      <c r="L52" s="15">
        <f t="shared" si="10"/>
        <v>68.099999999999994</v>
      </c>
      <c r="M52" s="15">
        <f t="shared" si="11"/>
        <v>57</v>
      </c>
      <c r="N52" s="15">
        <f t="shared" si="13"/>
        <v>51.9</v>
      </c>
      <c r="O52" s="15">
        <f t="shared" si="14"/>
        <v>39.4</v>
      </c>
      <c r="P52" s="15">
        <f t="shared" si="15"/>
        <v>55.3</v>
      </c>
      <c r="Q52" s="15">
        <f t="shared" si="16"/>
        <v>26.2</v>
      </c>
      <c r="R52" s="15">
        <f t="shared" si="17"/>
        <v>25.5</v>
      </c>
      <c r="S52" s="15">
        <f t="shared" si="18"/>
        <v>23.2</v>
      </c>
      <c r="T52" s="15">
        <f t="shared" si="19"/>
        <v>24.3</v>
      </c>
      <c r="U52" s="15">
        <f t="shared" si="20"/>
        <v>65.2</v>
      </c>
      <c r="V52" s="15">
        <f t="shared" si="21"/>
        <v>52.2</v>
      </c>
      <c r="W52" s="15">
        <f t="shared" ref="W52:W54" si="22">ROUND((($B$22-$B24)^2+($C$22-$C24)^2)^0.5,1)</f>
        <v>31.3</v>
      </c>
      <c r="X52" s="15">
        <f>ROUND((($B$23-$B24)^2+($C$23-$C24)^2)^0.5,1)</f>
        <v>72.099999999999994</v>
      </c>
      <c r="Y52" s="16">
        <v>0</v>
      </c>
      <c r="Z52" s="15"/>
      <c r="AA52" s="15"/>
    </row>
    <row r="53" spans="2:27" x14ac:dyDescent="0.2">
      <c r="B53" s="11" t="s">
        <v>3</v>
      </c>
      <c r="C53" s="15">
        <f t="shared" si="1"/>
        <v>16.600000000000001</v>
      </c>
      <c r="D53" s="15">
        <f t="shared" si="2"/>
        <v>96.2</v>
      </c>
      <c r="E53" s="15">
        <f t="shared" si="3"/>
        <v>57.1</v>
      </c>
      <c r="F53" s="15">
        <f t="shared" si="4"/>
        <v>90.4</v>
      </c>
      <c r="G53" s="15">
        <f t="shared" si="5"/>
        <v>87.7</v>
      </c>
      <c r="H53" s="15">
        <f t="shared" si="6"/>
        <v>32.299999999999997</v>
      </c>
      <c r="I53" s="15">
        <f t="shared" si="7"/>
        <v>49.7</v>
      </c>
      <c r="J53" s="15">
        <f t="shared" si="12"/>
        <v>20.6</v>
      </c>
      <c r="K53" s="15">
        <f t="shared" si="9"/>
        <v>52.2</v>
      </c>
      <c r="L53" s="15">
        <f t="shared" si="10"/>
        <v>82.2</v>
      </c>
      <c r="M53" s="15">
        <f t="shared" si="11"/>
        <v>47.2</v>
      </c>
      <c r="N53" s="15">
        <f t="shared" si="13"/>
        <v>31.3</v>
      </c>
      <c r="O53" s="15">
        <f t="shared" si="14"/>
        <v>40.700000000000003</v>
      </c>
      <c r="P53" s="15">
        <f t="shared" si="15"/>
        <v>18</v>
      </c>
      <c r="Q53" s="15">
        <f t="shared" si="16"/>
        <v>28.3</v>
      </c>
      <c r="R53" s="15">
        <f t="shared" si="17"/>
        <v>63.3</v>
      </c>
      <c r="S53" s="15">
        <f t="shared" si="18"/>
        <v>16.8</v>
      </c>
      <c r="T53" s="15">
        <f t="shared" si="19"/>
        <v>43.6</v>
      </c>
      <c r="U53" s="15">
        <f t="shared" si="20"/>
        <v>40.299999999999997</v>
      </c>
      <c r="V53" s="15">
        <f t="shared" si="21"/>
        <v>14.3</v>
      </c>
      <c r="W53" s="15">
        <f t="shared" si="22"/>
        <v>68.099999999999994</v>
      </c>
      <c r="X53" s="15">
        <f t="shared" ref="X53:X54" si="23">ROUND((($B$23-$B25)^2+($C$23-$C25)^2)^0.5,1)</f>
        <v>81.900000000000006</v>
      </c>
      <c r="Y53" s="15">
        <f>ROUND((($B$24-$B25)^2+($C$24-$C25)^2)^0.5,1)</f>
        <v>39.1</v>
      </c>
      <c r="Z53" s="16">
        <v>0</v>
      </c>
      <c r="AA53" s="15"/>
    </row>
    <row r="54" spans="2:27" x14ac:dyDescent="0.2">
      <c r="B54" s="11" t="s">
        <v>4</v>
      </c>
      <c r="C54" s="15">
        <f t="shared" si="1"/>
        <v>54</v>
      </c>
      <c r="D54" s="15">
        <f t="shared" si="2"/>
        <v>57.4</v>
      </c>
      <c r="E54" s="15">
        <f t="shared" si="3"/>
        <v>17</v>
      </c>
      <c r="F54" s="15">
        <f t="shared" si="4"/>
        <v>58.4</v>
      </c>
      <c r="G54" s="15">
        <f t="shared" si="5"/>
        <v>50.3</v>
      </c>
      <c r="H54" s="15">
        <f t="shared" si="6"/>
        <v>35.799999999999997</v>
      </c>
      <c r="I54" s="15">
        <f t="shared" si="7"/>
        <v>9.1999999999999993</v>
      </c>
      <c r="J54" s="15">
        <f t="shared" si="12"/>
        <v>27.7</v>
      </c>
      <c r="K54" s="15">
        <f t="shared" si="9"/>
        <v>45.3</v>
      </c>
      <c r="L54" s="15">
        <f t="shared" si="10"/>
        <v>54</v>
      </c>
      <c r="M54" s="15">
        <f>ROUND((($B$12-$B26)^2+($C$12-$C26)^2)^0.5,1)</f>
        <v>51.4</v>
      </c>
      <c r="N54" s="15">
        <f t="shared" si="13"/>
        <v>51.2</v>
      </c>
      <c r="O54" s="15">
        <f t="shared" si="14"/>
        <v>32.799999999999997</v>
      </c>
      <c r="P54" s="15">
        <f t="shared" si="15"/>
        <v>65.400000000000006</v>
      </c>
      <c r="Q54" s="15">
        <f t="shared" si="16"/>
        <v>25.3</v>
      </c>
      <c r="R54" s="15">
        <f t="shared" si="17"/>
        <v>17.3</v>
      </c>
      <c r="S54" s="15">
        <f t="shared" si="18"/>
        <v>31</v>
      </c>
      <c r="T54" s="15">
        <f t="shared" si="19"/>
        <v>14.1</v>
      </c>
      <c r="U54" s="15">
        <f t="shared" si="20"/>
        <v>64.5</v>
      </c>
      <c r="V54" s="15">
        <f t="shared" si="21"/>
        <v>58.9</v>
      </c>
      <c r="W54" s="15">
        <f t="shared" si="22"/>
        <v>35.6</v>
      </c>
      <c r="X54" s="15">
        <f t="shared" si="23"/>
        <v>58.9</v>
      </c>
      <c r="Y54" s="15">
        <f>ROUND((($B$24-$B26)^2+($C$24-$C26)^2)^0.5,1)</f>
        <v>15.2</v>
      </c>
      <c r="Z54" s="15">
        <f>ROUND((($B25-$B26)^2+($C25-$C26)^2)^0.5,1)</f>
        <v>47.8</v>
      </c>
      <c r="AA54" s="16">
        <v>0</v>
      </c>
    </row>
    <row r="82" spans="4:26" x14ac:dyDescent="0.2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4:26" x14ac:dyDescent="0.2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4:26" x14ac:dyDescent="0.2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4:26" x14ac:dyDescent="0.2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4:26" x14ac:dyDescent="0.2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4:26" x14ac:dyDescent="0.2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4:26" x14ac:dyDescent="0.2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4:26" x14ac:dyDescent="0.2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4:26" x14ac:dyDescent="0.2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4:26" x14ac:dyDescent="0.2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4:26" x14ac:dyDescent="0.2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4:26" x14ac:dyDescent="0.2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4:26" x14ac:dyDescent="0.2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4:26" x14ac:dyDescent="0.2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4:26" x14ac:dyDescent="0.2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4:26" x14ac:dyDescent="0.2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4:26" x14ac:dyDescent="0.2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4:26" x14ac:dyDescent="0.2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4:26" x14ac:dyDescent="0.2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4:26" x14ac:dyDescent="0.2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4:26" x14ac:dyDescent="0.2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4:26" x14ac:dyDescent="0.2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4:26" x14ac:dyDescent="0.2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4:26" x14ac:dyDescent="0.2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4:26" x14ac:dyDescent="0.2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4:26" x14ac:dyDescent="0.2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4:26" x14ac:dyDescent="0.2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4:26" x14ac:dyDescent="0.2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4:26" x14ac:dyDescent="0.2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4:26" x14ac:dyDescent="0.2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4:26" x14ac:dyDescent="0.2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4:26" x14ac:dyDescent="0.2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4:26" x14ac:dyDescent="0.2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4:26" x14ac:dyDescent="0.2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4:26" x14ac:dyDescent="0.2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4:26" x14ac:dyDescent="0.2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Hoyle</dc:creator>
  <cp:lastModifiedBy>Andrew Hoyle</cp:lastModifiedBy>
  <dcterms:created xsi:type="dcterms:W3CDTF">2017-03-09T13:30:02Z</dcterms:created>
  <dcterms:modified xsi:type="dcterms:W3CDTF">2026-02-27T12:09:08Z</dcterms:modified>
</cp:coreProperties>
</file>